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.03.26" sheetId="1" r:id="rId4"/>
    <sheet state="visible" name="25.03.26" sheetId="2" r:id="rId5"/>
  </sheets>
  <definedNames/>
  <calcPr/>
  <extLst>
    <ext uri="GoogleSheetsCustomDataVersion2">
      <go:sheetsCustomData xmlns:go="http://customooxmlschemas.google.com/" r:id="rId6" roundtripDataChecksum="2/976eNmhpYs/Q1H1rAI9Fe3FWcF2eP9aAqnxnIDFGg="/>
    </ext>
  </extLst>
</workbook>
</file>

<file path=xl/sharedStrings.xml><?xml version="1.0" encoding="utf-8"?>
<sst xmlns="http://schemas.openxmlformats.org/spreadsheetml/2006/main" count="155" uniqueCount="71">
  <si>
    <t>FURNACE FLAME TEMPERATURE MAPPING</t>
  </si>
  <si>
    <t xml:space="preserve"> </t>
  </si>
  <si>
    <t>UNIT : 5</t>
  </si>
  <si>
    <t>Date :- 18/03/2026</t>
  </si>
  <si>
    <t>Time :-  9:00</t>
  </si>
  <si>
    <t xml:space="preserve">Load (MW) : -              </t>
  </si>
  <si>
    <t>Total Coal flow (TPH) :-                                     353</t>
  </si>
  <si>
    <t xml:space="preserve">Coal Mills in Service : </t>
  </si>
  <si>
    <t>ABDEFG</t>
  </si>
  <si>
    <t>Total Air flow (TPH) :-                                      1602</t>
  </si>
  <si>
    <t xml:space="preserve">Oil Guns in Service : </t>
  </si>
  <si>
    <t>Burner Tilt Position (Deg) :-                      10,27,24,17</t>
  </si>
  <si>
    <t>34,32,31,34</t>
  </si>
  <si>
    <r>
      <rPr>
        <rFont val="Arial"/>
        <b/>
        <color theme="1"/>
        <sz val="10.0"/>
      </rPr>
      <t xml:space="preserve">( Flame Temp. in 0C - </t>
    </r>
    <r>
      <rPr>
        <rFont val="Arial"/>
        <b/>
        <i/>
        <color rgb="FFFF0000"/>
        <sz val="10.0"/>
      </rPr>
      <t>Average</t>
    </r>
    <r>
      <rPr>
        <rFont val="Arial"/>
        <b/>
        <color theme="1"/>
        <sz val="10.0"/>
      </rPr>
      <t xml:space="preserve"> )</t>
    </r>
    <r>
      <rPr>
        <rFont val="Arial"/>
        <color theme="1"/>
        <sz val="10.0"/>
      </rPr>
      <t xml:space="preserve"> Instrument Used : Chino Infrared Thermometer - Model - IR HASNE</t>
    </r>
  </si>
  <si>
    <t>ELEVATION</t>
  </si>
  <si>
    <t>CORNER 1</t>
  </si>
  <si>
    <t>CORNER 2</t>
  </si>
  <si>
    <t>CORNER 3</t>
  </si>
  <si>
    <t>CORNER 4</t>
  </si>
  <si>
    <t>AVERAGE</t>
  </si>
  <si>
    <t>58.4 M</t>
  </si>
  <si>
    <t>49.2 M</t>
  </si>
  <si>
    <t>46.2 M</t>
  </si>
  <si>
    <t>42.2 M</t>
  </si>
  <si>
    <t>38.65 M</t>
  </si>
  <si>
    <t>GH / 35.0 M</t>
  </si>
  <si>
    <t>EF / 31.4 M</t>
  </si>
  <si>
    <t>CD / 27.8 M</t>
  </si>
  <si>
    <t>AB / 24.2 M</t>
  </si>
  <si>
    <r>
      <rPr>
        <rFont val="Arial"/>
        <b/>
        <color theme="1"/>
        <sz val="9.0"/>
      </rPr>
      <t xml:space="preserve">NOTE:- </t>
    </r>
    <r>
      <rPr>
        <rFont val="Arial"/>
        <b/>
        <color rgb="FFFFD965"/>
        <sz val="9.0"/>
      </rPr>
      <t xml:space="preserve">YELLOW </t>
    </r>
    <r>
      <rPr>
        <rFont val="Arial"/>
        <b/>
        <color theme="1"/>
        <sz val="9.0"/>
      </rPr>
      <t xml:space="preserve"> FOR HIGHER TEMPERATURE AND </t>
    </r>
    <r>
      <rPr>
        <rFont val="Arial"/>
        <b/>
        <color rgb="FF00B050"/>
        <sz val="9.0"/>
      </rPr>
      <t>GREEN</t>
    </r>
    <r>
      <rPr>
        <rFont val="Arial"/>
        <b/>
        <color theme="1"/>
        <sz val="9.0"/>
      </rPr>
      <t xml:space="preserve">  FOR LOWER TEMPERATURE</t>
    </r>
  </si>
  <si>
    <t xml:space="preserve">Boiler &amp; Mill Parameters : </t>
  </si>
  <si>
    <t>L</t>
  </si>
  <si>
    <t>R</t>
  </si>
  <si>
    <r>
      <rPr>
        <rFont val="Arial"/>
        <color theme="1"/>
        <sz val="10.0"/>
      </rPr>
      <t>Main Steam Pressure (Kg/cm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) :</t>
    </r>
  </si>
  <si>
    <t xml:space="preserve">FG Temp after DPSH (L/R ) 0C : </t>
  </si>
  <si>
    <t xml:space="preserve">Main Steam Flow (TPH) :     </t>
  </si>
  <si>
    <r>
      <rPr>
        <rFont val="Arial"/>
        <color theme="1"/>
        <sz val="10.0"/>
      </rPr>
      <t xml:space="preserve">FG Temp after PSH (L/R )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 xml:space="preserve">C : </t>
    </r>
  </si>
  <si>
    <t xml:space="preserve">Superheat Spray (TPH) :  </t>
  </si>
  <si>
    <r>
      <rPr>
        <rFont val="Arial"/>
        <color theme="1"/>
        <sz val="10.0"/>
      </rPr>
      <t xml:space="preserve">FG Temp after RH (L/R )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 xml:space="preserve">C : </t>
    </r>
  </si>
  <si>
    <t xml:space="preserve">Re-heat Spray (TPH) : </t>
  </si>
  <si>
    <r>
      <rPr>
        <rFont val="Arial"/>
        <color theme="1"/>
        <sz val="10.0"/>
      </rPr>
      <t xml:space="preserve">FG Temp after HSH (L/R)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 :</t>
    </r>
  </si>
  <si>
    <r>
      <rPr>
        <rFont val="Arial"/>
        <color theme="1"/>
        <sz val="10.0"/>
      </rPr>
      <t>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 at APH Inlet (PCR) %</t>
    </r>
  </si>
  <si>
    <r>
      <rPr>
        <rFont val="Arial"/>
        <color theme="1"/>
        <sz val="10.0"/>
      </rPr>
      <t xml:space="preserve">FG Temp after Economizer (L/R) 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 :</t>
    </r>
  </si>
  <si>
    <t>Wind Box DP - A / B (mmwcl) :</t>
  </si>
  <si>
    <r>
      <rPr>
        <rFont val="Arial"/>
        <color theme="1"/>
        <sz val="10.0"/>
      </rPr>
      <t xml:space="preserve">FG Temp after APH (L/R) 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 :</t>
    </r>
  </si>
  <si>
    <t>Total PA flow (TPH)</t>
  </si>
  <si>
    <t>Coal Mill Parameters : -</t>
  </si>
  <si>
    <t>COAL MILLS</t>
  </si>
  <si>
    <t>Coal Mill - A</t>
  </si>
  <si>
    <t>Coal Mill - B</t>
  </si>
  <si>
    <t>Coal Mill - C</t>
  </si>
  <si>
    <t>Coal Mill - D</t>
  </si>
  <si>
    <t>Coal Mill - E</t>
  </si>
  <si>
    <t>Coal Mill - F</t>
  </si>
  <si>
    <t>Coal Mill - G</t>
  </si>
  <si>
    <t>Coal Mill - H</t>
  </si>
  <si>
    <t xml:space="preserve">Coal Flow (TPH) </t>
  </si>
  <si>
    <t>PA Flow (TPH)</t>
  </si>
  <si>
    <t>Mill DP (mmwcl)</t>
  </si>
  <si>
    <r>
      <rPr>
        <rFont val="Arial"/>
        <color theme="1"/>
        <sz val="10.0"/>
      </rPr>
      <t>Mill Outlet Temp (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C)</t>
    </r>
  </si>
  <si>
    <t>Mill Current (Amp)</t>
  </si>
  <si>
    <r>
      <rPr>
        <rFont val="Arial"/>
        <b/>
        <color theme="1"/>
        <sz val="10.0"/>
      </rPr>
      <t xml:space="preserve">( Flame Temp. in 0C - </t>
    </r>
    <r>
      <rPr>
        <rFont val="Arial"/>
        <b/>
        <i/>
        <color rgb="FFFF0000"/>
        <sz val="10.0"/>
      </rPr>
      <t>Average</t>
    </r>
    <r>
      <rPr>
        <rFont val="Arial"/>
        <b/>
        <color theme="1"/>
        <sz val="10.0"/>
      </rPr>
      <t xml:space="preserve"> )</t>
    </r>
    <r>
      <rPr>
        <rFont val="Arial"/>
        <color theme="1"/>
        <sz val="10.0"/>
      </rPr>
      <t xml:space="preserve"> Instrument Used : Chino Infrared Thermometer - Model - IR HASNE</t>
    </r>
  </si>
  <si>
    <r>
      <rPr>
        <rFont val="Arial"/>
        <b/>
        <color theme="1"/>
        <sz val="9.0"/>
      </rPr>
      <t xml:space="preserve">NOTE:- </t>
    </r>
    <r>
      <rPr>
        <rFont val="Arial"/>
        <b/>
        <color rgb="FFFFD965"/>
        <sz val="9.0"/>
      </rPr>
      <t xml:space="preserve">YELLOW </t>
    </r>
    <r>
      <rPr>
        <rFont val="Arial"/>
        <b/>
        <color theme="1"/>
        <sz val="9.0"/>
      </rPr>
      <t xml:space="preserve"> FOR HIGHER TEMPERATURE AND </t>
    </r>
    <r>
      <rPr>
        <rFont val="Arial"/>
        <b/>
        <color rgb="FF00B050"/>
        <sz val="9.0"/>
      </rPr>
      <t>GREEN</t>
    </r>
    <r>
      <rPr>
        <rFont val="Arial"/>
        <b/>
        <color theme="1"/>
        <sz val="9.0"/>
      </rPr>
      <t xml:space="preserve">  FOR LOWER TEMPERATURE</t>
    </r>
  </si>
  <si>
    <r>
      <rPr>
        <rFont val="Arial"/>
        <color theme="1"/>
        <sz val="10.0"/>
      </rPr>
      <t>Main Steam Pressure (Kg/cm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) :</t>
    </r>
  </si>
  <si>
    <r>
      <rPr>
        <rFont val="Arial"/>
        <color theme="1"/>
        <sz val="10.0"/>
      </rPr>
      <t xml:space="preserve">FG Temp after PSH (L/R )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 xml:space="preserve">C : </t>
    </r>
  </si>
  <si>
    <r>
      <rPr>
        <rFont val="Arial"/>
        <color theme="1"/>
        <sz val="10.0"/>
      </rPr>
      <t xml:space="preserve">FG Temp after RH (L/R )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 xml:space="preserve">C : </t>
    </r>
  </si>
  <si>
    <r>
      <rPr>
        <rFont val="Arial"/>
        <color theme="1"/>
        <sz val="10.0"/>
      </rPr>
      <t xml:space="preserve">FG Temp after HSH (L/R)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 :</t>
    </r>
  </si>
  <si>
    <r>
      <rPr>
        <rFont val="Arial"/>
        <color theme="1"/>
        <sz val="10.0"/>
      </rPr>
      <t>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 at APH Inlet (PCR) %</t>
    </r>
  </si>
  <si>
    <r>
      <rPr>
        <rFont val="Arial"/>
        <color theme="1"/>
        <sz val="10.0"/>
      </rPr>
      <t xml:space="preserve">FG Temp after Economizer (L/R) 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 :</t>
    </r>
  </si>
  <si>
    <r>
      <rPr>
        <rFont val="Arial"/>
        <color theme="1"/>
        <sz val="10.0"/>
      </rPr>
      <t xml:space="preserve">FG Temp after APH (L/R)  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 :</t>
    </r>
  </si>
  <si>
    <r>
      <rPr>
        <rFont val="Arial"/>
        <color theme="1"/>
        <sz val="10.0"/>
      </rPr>
      <t>Mill Outlet Temp (</t>
    </r>
    <r>
      <rPr>
        <rFont val="Arial"/>
        <color theme="1"/>
        <sz val="10.0"/>
        <vertAlign val="superscript"/>
      </rPr>
      <t>0</t>
    </r>
    <r>
      <rPr>
        <rFont val="Arial"/>
        <color theme="1"/>
        <sz val="10.0"/>
      </rPr>
      <t>C)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</si>
</sst>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4.0"/>
      <color theme="1"/>
      <name val="Arial"/>
    </font>
    <font/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1.0"/>
      <color rgb="FF0000FF"/>
      <name val="Arial"/>
    </font>
    <font>
      <b/>
      <sz val="9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23" fillId="0" fontId="6" numFmtId="164" xfId="0" applyAlignment="1" applyBorder="1" applyFont="1" applyNumberFormat="1">
      <alignment horizontal="center" vertical="center"/>
    </xf>
    <xf borderId="24" fillId="2" fontId="6" numFmtId="0" xfId="0" applyAlignment="1" applyBorder="1" applyFill="1" applyFont="1">
      <alignment horizontal="center" vertical="center"/>
    </xf>
    <xf borderId="24" fillId="3" fontId="6" numFmtId="0" xfId="0" applyAlignment="1" applyBorder="1" applyFill="1" applyFont="1">
      <alignment horizontal="center" shrinkToFit="0" vertical="center" wrapText="1"/>
    </xf>
    <xf borderId="24" fillId="4" fontId="6" numFmtId="0" xfId="0" applyAlignment="1" applyBorder="1" applyFill="1" applyFont="1">
      <alignment horizontal="center" vertical="center"/>
    </xf>
    <xf borderId="25" fillId="2" fontId="7" numFmtId="1" xfId="0" applyAlignment="1" applyBorder="1" applyFont="1" applyNumberFormat="1">
      <alignment horizontal="center" vertical="center"/>
    </xf>
    <xf borderId="26" fillId="0" fontId="2" numFmtId="0" xfId="0" applyBorder="1" applyFont="1"/>
    <xf borderId="27" fillId="0" fontId="3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6" numFmtId="164" xfId="0" applyAlignment="1" applyBorder="1" applyFont="1" applyNumberFormat="1">
      <alignment horizontal="center" vertical="center"/>
    </xf>
    <xf borderId="15" fillId="2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center" vertical="center"/>
    </xf>
    <xf borderId="30" fillId="2" fontId="7" numFmtId="1" xfId="0" applyAlignment="1" applyBorder="1" applyFont="1" applyNumberFormat="1">
      <alignment horizontal="center" vertical="center"/>
    </xf>
    <xf borderId="31" fillId="0" fontId="2" numFmtId="0" xfId="0" applyBorder="1" applyFont="1"/>
    <xf borderId="32" fillId="0" fontId="3" numFmtId="0" xfId="0" applyAlignment="1" applyBorder="1" applyFont="1">
      <alignment horizontal="center" vertical="center"/>
    </xf>
    <xf borderId="13" fillId="0" fontId="2" numFmtId="0" xfId="0" applyBorder="1" applyFont="1"/>
    <xf borderId="15" fillId="2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29" fillId="0" fontId="6" numFmtId="164" xfId="0" applyAlignment="1" applyBorder="1" applyFont="1" applyNumberFormat="1">
      <alignment horizontal="center" shrinkToFit="0" vertical="center" wrapText="1"/>
    </xf>
    <xf borderId="29" fillId="0" fontId="3" numFmtId="164" xfId="0" applyAlignment="1" applyBorder="1" applyFont="1" applyNumberFormat="1">
      <alignment horizontal="center" vertical="center"/>
    </xf>
    <xf borderId="33" fillId="0" fontId="3" numFmtId="164" xfId="0" applyAlignment="1" applyBorder="1" applyFont="1" applyNumberFormat="1">
      <alignment horizontal="center" vertical="center"/>
    </xf>
    <xf borderId="34" fillId="2" fontId="6" numFmtId="0" xfId="0" applyAlignment="1" applyBorder="1" applyFont="1">
      <alignment horizontal="center" vertical="center"/>
    </xf>
    <xf borderId="34" fillId="4" fontId="6" numFmtId="0" xfId="0" applyAlignment="1" applyBorder="1" applyFont="1">
      <alignment horizontal="center" vertical="center"/>
    </xf>
    <xf borderId="34" fillId="3" fontId="6" numFmtId="0" xfId="0" applyAlignment="1" applyBorder="1" applyFont="1">
      <alignment horizontal="center" vertical="center"/>
    </xf>
    <xf borderId="35" fillId="2" fontId="7" numFmtId="1" xfId="0" applyAlignment="1" applyBorder="1" applyFont="1" applyNumberFormat="1">
      <alignment horizontal="center" vertical="center"/>
    </xf>
    <xf borderId="36" fillId="0" fontId="2" numFmtId="0" xfId="0" applyBorder="1" applyFont="1"/>
    <xf borderId="4" fillId="0" fontId="3" numFmtId="0" xfId="0" applyAlignment="1" applyBorder="1" applyFont="1">
      <alignment horizontal="center" vertical="center"/>
    </xf>
    <xf borderId="8" fillId="0" fontId="2" numFmtId="0" xfId="0" applyBorder="1" applyFont="1"/>
    <xf borderId="1" fillId="2" fontId="8" numFmtId="164" xfId="0" applyAlignment="1" applyBorder="1" applyFont="1" applyNumberFormat="1">
      <alignment horizontal="center" vertical="center"/>
    </xf>
    <xf borderId="37" fillId="0" fontId="5" numFmtId="0" xfId="0" applyAlignment="1" applyBorder="1" applyFont="1">
      <alignment horizontal="left" vertical="center"/>
    </xf>
    <xf borderId="38" fillId="0" fontId="3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38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9" fillId="0" fontId="3" numFmtId="0" xfId="0" applyAlignment="1" applyBorder="1" applyFont="1">
      <alignment horizontal="left" vertical="center"/>
    </xf>
    <xf borderId="40" fillId="0" fontId="3" numFmtId="0" xfId="0" applyAlignment="1" applyBorder="1" applyFont="1">
      <alignment horizontal="left" vertical="center"/>
    </xf>
    <xf borderId="25" fillId="0" fontId="3" numFmtId="0" xfId="0" applyAlignment="1" applyBorder="1" applyFont="1">
      <alignment horizontal="center" vertical="center"/>
    </xf>
    <xf borderId="41" fillId="0" fontId="2" numFmtId="0" xfId="0" applyBorder="1" applyFont="1"/>
    <xf borderId="25" fillId="0" fontId="3" numFmtId="0" xfId="0" applyAlignment="1" applyBorder="1" applyFont="1">
      <alignment vertical="center"/>
    </xf>
    <xf borderId="42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3" fillId="0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30" fillId="0" fontId="3" numFmtId="0" xfId="0" applyAlignment="1" applyBorder="1" applyFont="1">
      <alignment horizontal="center" vertical="center"/>
    </xf>
    <xf borderId="16" fillId="0" fontId="2" numFmtId="0" xfId="0" applyBorder="1" applyFont="1"/>
    <xf borderId="29" fillId="0" fontId="3" numFmtId="0" xfId="0" applyAlignment="1" applyBorder="1" applyFont="1">
      <alignment horizontal="center" vertical="center"/>
    </xf>
    <xf borderId="44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center" vertical="center"/>
    </xf>
    <xf borderId="0" fillId="0" fontId="3" numFmtId="1" xfId="0" applyAlignment="1" applyFont="1" applyNumberFormat="1">
      <alignment horizontal="center"/>
    </xf>
    <xf borderId="45" fillId="0" fontId="3" numFmtId="0" xfId="0" applyAlignment="1" applyBorder="1" applyFont="1">
      <alignment horizontal="center" vertical="center"/>
    </xf>
    <xf borderId="46" fillId="0" fontId="2" numFmtId="0" xfId="0" applyBorder="1" applyFont="1"/>
    <xf borderId="47" fillId="0" fontId="2" numFmtId="0" xfId="0" applyBorder="1" applyFont="1"/>
    <xf borderId="48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horizontal="center" vertical="center"/>
    </xf>
    <xf borderId="50" fillId="0" fontId="2" numFmtId="0" xfId="0" applyBorder="1" applyFont="1"/>
    <xf borderId="7" fillId="0" fontId="2" numFmtId="0" xfId="0" applyBorder="1" applyFont="1"/>
    <xf borderId="5" fillId="0" fontId="2" numFmtId="0" xfId="0" applyBorder="1" applyFont="1"/>
    <xf borderId="37" fillId="0" fontId="2" numFmtId="0" xfId="0" applyBorder="1" applyFont="1"/>
    <xf borderId="51" fillId="0" fontId="2" numFmtId="0" xfId="0" applyBorder="1" applyFont="1"/>
    <xf borderId="1" fillId="0" fontId="9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left"/>
    </xf>
    <xf borderId="24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0" fillId="0" fontId="1" numFmtId="2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1" numFmtId="0" xfId="0" applyFont="1"/>
    <xf borderId="0" fillId="0" fontId="10" numFmtId="0" xfId="0" applyFont="1"/>
    <xf borderId="24" fillId="4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Unit-5 ; (10-01-2026) ; 488 MW ;332TPH /Mills - A B C E  F G
</a:t>
            </a:r>
          </a:p>
        </c:rich>
      </c:tx>
      <c:layout>
        <c:manualLayout>
          <c:xMode val="edge"/>
          <c:yMode val="edge"/>
          <c:x val="0.06803748167365753"/>
          <c:y val="0.011102620157738271"/>
        </c:manualLayout>
      </c:layout>
      <c:overlay val="0"/>
    </c:title>
    <c:plotArea>
      <c:layout>
        <c:manualLayout>
          <c:xMode val="edge"/>
          <c:yMode val="edge"/>
          <c:x val="0.12958268844764864"/>
          <c:y val="0.0977210770002065"/>
          <c:w val="0.5942796716647231"/>
          <c:h val="0.7739684256594"/>
        </c:manualLayout>
      </c:layout>
      <c:scatterChart>
        <c:scatterStyle val="lineMarker"/>
        <c:varyColors val="0"/>
        <c:ser>
          <c:idx val="0"/>
          <c:order val="0"/>
          <c:tx>
            <c:v>Corner-1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'18.03.26'!$B$8:$B$16</c:f>
            </c:numRef>
          </c:xVal>
          <c:yVal>
            <c:numRef>
              <c:f>'18.03.26'!$A$8:$A$16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29908"/>
        <c:axId val="1545254413"/>
      </c:scatterChart>
      <c:valAx>
        <c:axId val="103729908"/>
        <c:scaling>
          <c:orientation val="minMax"/>
          <c:max val="14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Calibri"/>
                  </a:rPr>
                  <a:t>Temp oC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545254413"/>
        <c:majorUnit val="100.0"/>
      </c:valAx>
      <c:valAx>
        <c:axId val="1545254413"/>
        <c:scaling>
          <c:orientation val="minMax"/>
          <c:max val="6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Level (M)</a:t>
                </a:r>
              </a:p>
            </c:rich>
          </c:tx>
          <c:layout>
            <c:manualLayout>
              <c:xMode val="edge"/>
              <c:yMode val="edge"/>
              <c:x val="0.009058350464812568"/>
              <c:y val="0.31611005927629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03729908"/>
        <c:majorUnit val="2.0"/>
        <c:minorUnit val="2.0"/>
      </c:valAx>
    </c:plotArea>
    <c:legend>
      <c:legendPos val="r"/>
      <c:layout>
        <c:manualLayout>
          <c:xMode val="edge"/>
          <c:yMode val="edge"/>
          <c:x val="0.7781929147628844"/>
          <c:y val="0.35884773953817567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Unit-5 ; (18-03-2026) ; 495 MW ;355 TPH /Mills - A B D E F G   
</a:t>
            </a:r>
          </a:p>
        </c:rich>
      </c:tx>
      <c:layout>
        <c:manualLayout>
          <c:xMode val="edge"/>
          <c:yMode val="edge"/>
          <c:x val="0.06803748167365753"/>
          <c:y val="0.011102620157738271"/>
        </c:manualLayout>
      </c:layout>
      <c:overlay val="0"/>
    </c:title>
    <c:plotArea>
      <c:layout>
        <c:manualLayout>
          <c:xMode val="edge"/>
          <c:yMode val="edge"/>
          <c:x val="0.12958268844764864"/>
          <c:y val="0.0977210770002065"/>
          <c:w val="0.5942796716647231"/>
          <c:h val="0.7739684256594"/>
        </c:manualLayout>
      </c:layout>
      <c:scatterChart>
        <c:scatterStyle val="lineMarker"/>
        <c:varyColors val="0"/>
        <c:ser>
          <c:idx val="0"/>
          <c:order val="0"/>
          <c:tx>
            <c:v>Corner-1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'18.03.26'!$B$8:$B$16</c:f>
            </c:numRef>
          </c:xVal>
          <c:yVal>
            <c:numRef>
              <c:f>'18.03.26'!$A$8:$A$16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237966"/>
        <c:axId val="1264123107"/>
      </c:scatterChart>
      <c:valAx>
        <c:axId val="233237966"/>
        <c:scaling>
          <c:orientation val="minMax"/>
          <c:max val="14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Calibri"/>
                  </a:rPr>
                  <a:t>Temp oC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64123107"/>
        <c:majorUnit val="100.0"/>
      </c:valAx>
      <c:valAx>
        <c:axId val="1264123107"/>
        <c:scaling>
          <c:orientation val="minMax"/>
          <c:max val="6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Level (M)</a:t>
                </a:r>
              </a:p>
            </c:rich>
          </c:tx>
          <c:layout>
            <c:manualLayout>
              <c:xMode val="edge"/>
              <c:yMode val="edge"/>
              <c:x val="0.009058350464812568"/>
              <c:y val="0.31611005927629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33237966"/>
        <c:majorUnit val="2.0"/>
        <c:minorUnit val="2.0"/>
      </c:valAx>
    </c:plotArea>
    <c:legend>
      <c:legendPos val="r"/>
      <c:layout>
        <c:manualLayout>
          <c:xMode val="edge"/>
          <c:yMode val="edge"/>
          <c:x val="0.7781929147628844"/>
          <c:y val="0.35884773953817567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</xdr:row>
      <xdr:rowOff>85725</xdr:rowOff>
    </xdr:from>
    <xdr:ext cx="5286375" cy="6096000"/>
    <xdr:graphicFrame>
      <xdr:nvGraphicFramePr>
        <xdr:cNvPr id="44291880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47625</xdr:colOff>
      <xdr:row>1</xdr:row>
      <xdr:rowOff>85725</xdr:rowOff>
    </xdr:from>
    <xdr:ext cx="5286375" cy="6096000"/>
    <xdr:graphicFrame>
      <xdr:nvGraphicFramePr>
        <xdr:cNvPr id="45635640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2.86"/>
    <col customWidth="1" min="3" max="7" width="12.0"/>
    <col customWidth="1" min="8" max="9" width="12.29"/>
    <col customWidth="1" min="10" max="10" width="5.29"/>
    <col customWidth="1" min="11" max="11" width="4.57"/>
    <col customWidth="1" min="12" max="20" width="8.86"/>
    <col customWidth="1" min="2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 t="s">
        <v>1</v>
      </c>
      <c r="M1" s="4"/>
      <c r="N1" s="4"/>
      <c r="O1" s="4" t="s"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 t="s">
        <v>2</v>
      </c>
      <c r="B2" s="6"/>
      <c r="C2" s="7"/>
      <c r="D2" s="8" t="s">
        <v>3</v>
      </c>
      <c r="E2" s="9"/>
      <c r="F2" s="10"/>
      <c r="G2" s="8" t="s">
        <v>4</v>
      </c>
      <c r="H2" s="9"/>
      <c r="I2" s="1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12" t="s">
        <v>5</v>
      </c>
      <c r="B3" s="13">
        <v>495.0</v>
      </c>
      <c r="C3" s="14"/>
      <c r="D3" s="15" t="s">
        <v>6</v>
      </c>
      <c r="E3" s="16"/>
      <c r="F3" s="16"/>
      <c r="G3" s="16">
        <v>355.0</v>
      </c>
      <c r="H3" s="16"/>
      <c r="I3" s="1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8" t="s">
        <v>7</v>
      </c>
      <c r="B4" s="19">
        <v>6.0</v>
      </c>
      <c r="C4" s="20" t="s">
        <v>8</v>
      </c>
      <c r="D4" s="15" t="s">
        <v>9</v>
      </c>
      <c r="E4" s="16"/>
      <c r="F4" s="16"/>
      <c r="G4" s="16">
        <v>1655.0</v>
      </c>
      <c r="H4" s="16"/>
      <c r="I4" s="1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21" t="s">
        <v>10</v>
      </c>
      <c r="B5" s="22"/>
      <c r="C5" s="23"/>
      <c r="D5" s="15" t="s">
        <v>11</v>
      </c>
      <c r="E5" s="16"/>
      <c r="F5" s="16"/>
      <c r="G5" s="16" t="s">
        <v>12</v>
      </c>
      <c r="H5" s="16"/>
      <c r="I5" s="1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24" t="s">
        <v>13</v>
      </c>
      <c r="B6" s="2"/>
      <c r="C6" s="2"/>
      <c r="D6" s="2"/>
      <c r="E6" s="2"/>
      <c r="F6" s="2"/>
      <c r="G6" s="2"/>
      <c r="H6" s="2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 t="s">
        <v>1</v>
      </c>
      <c r="U6" s="4"/>
      <c r="V6" s="4"/>
      <c r="W6" s="4"/>
      <c r="X6" s="4"/>
      <c r="Y6" s="4"/>
      <c r="Z6" s="4"/>
    </row>
    <row r="7" ht="18.75" customHeight="1">
      <c r="A7" s="25" t="s">
        <v>14</v>
      </c>
      <c r="B7" s="26" t="s">
        <v>15</v>
      </c>
      <c r="C7" s="26" t="s">
        <v>16</v>
      </c>
      <c r="D7" s="26" t="s">
        <v>17</v>
      </c>
      <c r="E7" s="26" t="s">
        <v>18</v>
      </c>
      <c r="F7" s="27" t="s">
        <v>19</v>
      </c>
      <c r="G7" s="28"/>
      <c r="H7" s="29" t="s">
        <v>14</v>
      </c>
      <c r="I7" s="30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31">
        <v>58.35</v>
      </c>
      <c r="B8" s="32">
        <v>1028.0</v>
      </c>
      <c r="C8" s="33">
        <v>1091.0</v>
      </c>
      <c r="D8" s="32">
        <v>1041.0</v>
      </c>
      <c r="E8" s="34">
        <v>1012.0</v>
      </c>
      <c r="F8" s="35">
        <f t="shared" ref="F8:F16" si="1">AVERAGE(B8:E8)</f>
        <v>1043</v>
      </c>
      <c r="G8" s="36"/>
      <c r="H8" s="37" t="s">
        <v>20</v>
      </c>
      <c r="I8" s="3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39">
        <v>49.2</v>
      </c>
      <c r="B9" s="40">
        <v>1139.0</v>
      </c>
      <c r="C9" s="41">
        <v>1142.0</v>
      </c>
      <c r="D9" s="42">
        <v>1103.0</v>
      </c>
      <c r="E9" s="40">
        <v>1120.0</v>
      </c>
      <c r="F9" s="43">
        <f t="shared" si="1"/>
        <v>1126</v>
      </c>
      <c r="G9" s="44"/>
      <c r="H9" s="45" t="s">
        <v>21</v>
      </c>
      <c r="I9" s="4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39">
        <v>46.2</v>
      </c>
      <c r="B10" s="40">
        <v>1185.0</v>
      </c>
      <c r="C10" s="41">
        <v>1198.0</v>
      </c>
      <c r="D10" s="42">
        <v>1176.0</v>
      </c>
      <c r="E10" s="40">
        <v>1179.0</v>
      </c>
      <c r="F10" s="43">
        <f t="shared" si="1"/>
        <v>1184.5</v>
      </c>
      <c r="G10" s="44"/>
      <c r="H10" s="45" t="s">
        <v>22</v>
      </c>
      <c r="I10" s="4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39">
        <v>42.2</v>
      </c>
      <c r="B11" s="41">
        <v>1221.0</v>
      </c>
      <c r="C11" s="47">
        <v>1217.0</v>
      </c>
      <c r="D11" s="42">
        <v>1181.0</v>
      </c>
      <c r="E11" s="40">
        <v>1190.0</v>
      </c>
      <c r="F11" s="43">
        <f t="shared" si="1"/>
        <v>1202.25</v>
      </c>
      <c r="G11" s="44"/>
      <c r="H11" s="45" t="s">
        <v>23</v>
      </c>
      <c r="I11" s="4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39">
        <v>38.65</v>
      </c>
      <c r="B12" s="40">
        <v>1172.0</v>
      </c>
      <c r="C12" s="48">
        <v>1193.0</v>
      </c>
      <c r="D12" s="42">
        <v>1156.0</v>
      </c>
      <c r="E12" s="40">
        <v>1166.0</v>
      </c>
      <c r="F12" s="43">
        <f t="shared" si="1"/>
        <v>1171.75</v>
      </c>
      <c r="G12" s="44"/>
      <c r="H12" s="45" t="s">
        <v>24</v>
      </c>
      <c r="I12" s="46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</v>
      </c>
      <c r="U12" s="4"/>
      <c r="V12" s="4"/>
      <c r="W12" s="4"/>
      <c r="X12" s="4"/>
      <c r="Y12" s="4"/>
      <c r="Z12" s="4"/>
    </row>
    <row r="13" ht="18.75" customHeight="1">
      <c r="A13" s="49">
        <v>35.0</v>
      </c>
      <c r="B13" s="40">
        <v>1138.0</v>
      </c>
      <c r="C13" s="48">
        <v>1151.0</v>
      </c>
      <c r="D13" s="42">
        <v>1122.0</v>
      </c>
      <c r="E13" s="40">
        <v>1125.0</v>
      </c>
      <c r="F13" s="43">
        <f t="shared" si="1"/>
        <v>1134</v>
      </c>
      <c r="G13" s="44"/>
      <c r="H13" s="45" t="s">
        <v>25</v>
      </c>
      <c r="I13" s="4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50">
        <v>31.4</v>
      </c>
      <c r="B14" s="41">
        <v>1072.0</v>
      </c>
      <c r="C14" s="40">
        <v>1060.0</v>
      </c>
      <c r="D14" s="42">
        <v>1041.0</v>
      </c>
      <c r="E14" s="40">
        <v>1062.0</v>
      </c>
      <c r="F14" s="43">
        <f t="shared" si="1"/>
        <v>1058.75</v>
      </c>
      <c r="G14" s="44"/>
      <c r="H14" s="45" t="s">
        <v>26</v>
      </c>
      <c r="I14" s="4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50">
        <v>27.8</v>
      </c>
      <c r="B15" s="40">
        <v>1028.0</v>
      </c>
      <c r="C15" s="41">
        <v>1035.0</v>
      </c>
      <c r="D15" s="42">
        <v>1016.0</v>
      </c>
      <c r="E15" s="40">
        <v>1024.0</v>
      </c>
      <c r="F15" s="43">
        <f t="shared" si="1"/>
        <v>1025.75</v>
      </c>
      <c r="G15" s="44"/>
      <c r="H15" s="45" t="s">
        <v>27</v>
      </c>
      <c r="I15" s="4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51">
        <v>24.2</v>
      </c>
      <c r="B16" s="52">
        <v>1013.0</v>
      </c>
      <c r="C16" s="53">
        <v>1006.0</v>
      </c>
      <c r="D16" s="54">
        <v>1020.0</v>
      </c>
      <c r="E16" s="52">
        <v>1010.0</v>
      </c>
      <c r="F16" s="55">
        <f t="shared" si="1"/>
        <v>1012.25</v>
      </c>
      <c r="G16" s="56"/>
      <c r="H16" s="57" t="s">
        <v>28</v>
      </c>
      <c r="I16" s="5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59" t="s">
        <v>29</v>
      </c>
      <c r="B17" s="2"/>
      <c r="C17" s="2"/>
      <c r="D17" s="2"/>
      <c r="E17" s="2"/>
      <c r="F17" s="2"/>
      <c r="G17" s="2"/>
      <c r="H17" s="2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60" t="s">
        <v>30</v>
      </c>
      <c r="B18" s="61"/>
      <c r="C18" s="62" t="s">
        <v>31</v>
      </c>
      <c r="D18" s="63" t="s">
        <v>32</v>
      </c>
      <c r="E18" s="64"/>
      <c r="F18" s="65"/>
      <c r="G18" s="66"/>
      <c r="H18" s="67" t="s">
        <v>31</v>
      </c>
      <c r="I18" s="68" t="s">
        <v>32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69" t="s">
        <v>33</v>
      </c>
      <c r="B19" s="70"/>
      <c r="C19" s="71">
        <v>164.0</v>
      </c>
      <c r="D19" s="72"/>
      <c r="E19" s="73" t="s">
        <v>34</v>
      </c>
      <c r="F19" s="74"/>
      <c r="G19" s="75"/>
      <c r="H19" s="76">
        <v>853.0</v>
      </c>
      <c r="I19" s="77">
        <v>817.0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78" t="s">
        <v>35</v>
      </c>
      <c r="B20" s="79"/>
      <c r="C20" s="80">
        <v>1518.0</v>
      </c>
      <c r="D20" s="81"/>
      <c r="E20" s="79" t="s">
        <v>36</v>
      </c>
      <c r="F20" s="79"/>
      <c r="G20" s="80"/>
      <c r="H20" s="82">
        <v>815.0</v>
      </c>
      <c r="I20" s="83">
        <v>712.0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84" t="s">
        <v>37</v>
      </c>
      <c r="B21" s="85"/>
      <c r="C21" s="86">
        <v>35.0</v>
      </c>
      <c r="D21" s="86">
        <v>17.0</v>
      </c>
      <c r="E21" s="79" t="s">
        <v>38</v>
      </c>
      <c r="F21" s="79"/>
      <c r="G21" s="80"/>
      <c r="H21" s="82">
        <v>675.0</v>
      </c>
      <c r="I21" s="83">
        <v>607.0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84" t="s">
        <v>39</v>
      </c>
      <c r="B22" s="85"/>
      <c r="C22" s="87">
        <v>4.0</v>
      </c>
      <c r="D22" s="86">
        <v>5.0</v>
      </c>
      <c r="E22" s="79" t="s">
        <v>40</v>
      </c>
      <c r="F22" s="79"/>
      <c r="G22" s="80"/>
      <c r="H22" s="82">
        <v>487.0</v>
      </c>
      <c r="I22" s="83">
        <v>472.0</v>
      </c>
      <c r="J22" s="4">
        <v>340.0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84" t="s">
        <v>41</v>
      </c>
      <c r="B23" s="85"/>
      <c r="C23" s="86">
        <v>3.6</v>
      </c>
      <c r="D23" s="86">
        <v>2.2</v>
      </c>
      <c r="E23" s="79" t="s">
        <v>42</v>
      </c>
      <c r="F23" s="79"/>
      <c r="G23" s="80"/>
      <c r="H23" s="82">
        <v>350.0</v>
      </c>
      <c r="I23" s="83">
        <v>358.0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84" t="s">
        <v>43</v>
      </c>
      <c r="B24" s="85"/>
      <c r="C24" s="86">
        <v>84.0</v>
      </c>
      <c r="D24" s="86">
        <v>92.0</v>
      </c>
      <c r="E24" s="88" t="s">
        <v>44</v>
      </c>
      <c r="F24" s="89"/>
      <c r="G24" s="90"/>
      <c r="H24" s="91">
        <v>137.0</v>
      </c>
      <c r="I24" s="92">
        <v>140.0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3" t="s">
        <v>45</v>
      </c>
      <c r="B25" s="94"/>
      <c r="C25" s="95">
        <v>768.0</v>
      </c>
      <c r="D25" s="96"/>
      <c r="E25" s="97"/>
      <c r="F25" s="98"/>
      <c r="G25" s="58"/>
      <c r="H25" s="99"/>
      <c r="I25" s="10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101" t="s">
        <v>46</v>
      </c>
      <c r="B26" s="102"/>
      <c r="C26" s="102"/>
      <c r="D26" s="102"/>
      <c r="E26" s="102"/>
      <c r="F26" s="102"/>
      <c r="G26" s="102"/>
      <c r="H26" s="102"/>
      <c r="I26" s="10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04" t="s">
        <v>47</v>
      </c>
      <c r="B27" s="105" t="s">
        <v>48</v>
      </c>
      <c r="C27" s="105" t="s">
        <v>49</v>
      </c>
      <c r="D27" s="105" t="s">
        <v>50</v>
      </c>
      <c r="E27" s="105" t="s">
        <v>51</v>
      </c>
      <c r="F27" s="105" t="s">
        <v>52</v>
      </c>
      <c r="G27" s="105" t="s">
        <v>53</v>
      </c>
      <c r="H27" s="105" t="s">
        <v>54</v>
      </c>
      <c r="I27" s="77" t="s">
        <v>55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106" t="s">
        <v>56</v>
      </c>
      <c r="B28" s="107">
        <v>61.0</v>
      </c>
      <c r="C28" s="86">
        <v>59.0</v>
      </c>
      <c r="D28" s="86"/>
      <c r="E28" s="86">
        <v>60.0</v>
      </c>
      <c r="F28" s="86">
        <v>60.0</v>
      </c>
      <c r="G28" s="86">
        <v>57.0</v>
      </c>
      <c r="H28" s="86">
        <v>58.0</v>
      </c>
      <c r="I28" s="8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78" t="s">
        <v>57</v>
      </c>
      <c r="B29" s="86">
        <v>115.0</v>
      </c>
      <c r="C29" s="86">
        <v>115.0</v>
      </c>
      <c r="D29" s="86"/>
      <c r="E29" s="86">
        <v>110.0</v>
      </c>
      <c r="F29" s="86">
        <v>114.0</v>
      </c>
      <c r="G29" s="86">
        <v>114.0</v>
      </c>
      <c r="H29" s="86">
        <v>114.0</v>
      </c>
      <c r="I29" s="83"/>
      <c r="J29" s="4"/>
      <c r="K29" s="4"/>
      <c r="L29" s="4" t="s">
        <v>1</v>
      </c>
      <c r="M29" s="4" t="s">
        <v>1</v>
      </c>
      <c r="N29" s="4" t="s">
        <v>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78" t="s">
        <v>58</v>
      </c>
      <c r="B30" s="86">
        <v>13.0</v>
      </c>
      <c r="C30" s="86">
        <v>-2.0</v>
      </c>
      <c r="D30" s="86"/>
      <c r="E30" s="86">
        <v>363.0</v>
      </c>
      <c r="F30" s="86">
        <v>0.0</v>
      </c>
      <c r="G30" s="86">
        <v>142.0</v>
      </c>
      <c r="H30" s="86">
        <v>13.0</v>
      </c>
      <c r="I30" s="83"/>
      <c r="J30" s="4"/>
      <c r="K30" s="4" t="s">
        <v>1</v>
      </c>
      <c r="L30" s="4" t="s">
        <v>1</v>
      </c>
      <c r="M30" s="4" t="s">
        <v>1</v>
      </c>
      <c r="N30" s="4" t="s">
        <v>1</v>
      </c>
      <c r="O30" s="4"/>
      <c r="P30" s="4" t="s">
        <v>1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78" t="s">
        <v>59</v>
      </c>
      <c r="B31" s="86">
        <v>65.0</v>
      </c>
      <c r="C31" s="86">
        <v>71.0</v>
      </c>
      <c r="D31" s="86"/>
      <c r="E31" s="86">
        <v>79.0</v>
      </c>
      <c r="F31" s="86">
        <v>70.0</v>
      </c>
      <c r="G31" s="86">
        <v>67.0</v>
      </c>
      <c r="H31" s="86">
        <v>69.0</v>
      </c>
      <c r="I31" s="83"/>
      <c r="J31" s="4"/>
      <c r="K31" s="4" t="s">
        <v>1</v>
      </c>
      <c r="L31" s="4" t="s">
        <v>1</v>
      </c>
      <c r="M31" s="4" t="s">
        <v>1</v>
      </c>
      <c r="N31" s="4" t="s">
        <v>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93" t="s">
        <v>60</v>
      </c>
      <c r="B32" s="108">
        <v>62.0</v>
      </c>
      <c r="C32" s="108">
        <v>54.0</v>
      </c>
      <c r="D32" s="108"/>
      <c r="E32" s="108">
        <v>58.0</v>
      </c>
      <c r="F32" s="108">
        <v>59.0</v>
      </c>
      <c r="G32" s="108">
        <v>54.0</v>
      </c>
      <c r="H32" s="108">
        <v>56.0</v>
      </c>
      <c r="I32" s="109"/>
      <c r="J32" s="110" t="s">
        <v>1</v>
      </c>
      <c r="K32" s="110"/>
      <c r="L32" s="110" t="s">
        <v>1</v>
      </c>
      <c r="M32" s="4" t="s">
        <v>1</v>
      </c>
      <c r="N32" s="4" t="s">
        <v>1</v>
      </c>
      <c r="O32" s="4" t="s">
        <v>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C33" s="111"/>
      <c r="D33" s="112"/>
      <c r="E33" s="113"/>
      <c r="F33" s="113"/>
      <c r="I33" s="110" t="s">
        <v>1</v>
      </c>
      <c r="J33" s="110"/>
      <c r="K33" s="110"/>
      <c r="L33" s="110" t="s">
        <v>1</v>
      </c>
      <c r="M33" s="4" t="s">
        <v>1</v>
      </c>
      <c r="N33" s="4" t="s">
        <v>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114"/>
      <c r="B34" s="114"/>
      <c r="C34" s="114"/>
      <c r="D34" s="114"/>
      <c r="E34" s="114"/>
      <c r="F34" s="114"/>
      <c r="G34" s="114"/>
      <c r="H34" s="114"/>
      <c r="I34" s="110"/>
      <c r="J34" s="113"/>
      <c r="K34" s="113"/>
      <c r="L34" s="113"/>
      <c r="M34" s="4" t="s">
        <v>1</v>
      </c>
      <c r="N34" s="4" t="s">
        <v>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4"/>
      <c r="B35" s="4"/>
      <c r="C35" s="4"/>
      <c r="D35" s="4"/>
      <c r="E35" s="4"/>
      <c r="F35" s="4"/>
      <c r="G35" s="4"/>
      <c r="H35" s="4"/>
      <c r="I35" s="113"/>
      <c r="J35" s="113"/>
      <c r="K35" s="113"/>
      <c r="L35" s="11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11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4.75" customHeight="1">
      <c r="A37" s="4"/>
      <c r="B37" s="4"/>
      <c r="C37" s="4"/>
      <c r="D37" s="4"/>
      <c r="E37" s="4"/>
      <c r="F37" s="4"/>
      <c r="G37" s="4"/>
      <c r="H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115" t="s">
        <v>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11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7">
    <mergeCell ref="A1:I1"/>
    <mergeCell ref="A6:I6"/>
    <mergeCell ref="F8:G8"/>
    <mergeCell ref="H8:I8"/>
    <mergeCell ref="F9:G9"/>
    <mergeCell ref="H9:I9"/>
    <mergeCell ref="H10:I10"/>
    <mergeCell ref="F10:G10"/>
    <mergeCell ref="F11:G11"/>
    <mergeCell ref="H11:I11"/>
    <mergeCell ref="F12:G12"/>
    <mergeCell ref="H12:I12"/>
    <mergeCell ref="F13:G13"/>
    <mergeCell ref="H13:I13"/>
    <mergeCell ref="C19:D19"/>
    <mergeCell ref="C20:D20"/>
    <mergeCell ref="E24:G25"/>
    <mergeCell ref="H24:H25"/>
    <mergeCell ref="I24:I25"/>
    <mergeCell ref="C25:D25"/>
    <mergeCell ref="F14:G14"/>
    <mergeCell ref="H14:I14"/>
    <mergeCell ref="F15:G15"/>
    <mergeCell ref="H15:I15"/>
    <mergeCell ref="F16:G16"/>
    <mergeCell ref="H16:I16"/>
    <mergeCell ref="A17:I17"/>
  </mergeCells>
  <printOptions/>
  <pageMargins bottom="0.2362204724409449" footer="0.0" header="0.0" left="1.1811023622047245" right="0.2362204724409449" top="0.511811023622047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>
      <c r="A2" s="5" t="s">
        <v>2</v>
      </c>
      <c r="B2" s="6"/>
      <c r="C2" s="7"/>
      <c r="D2" s="8" t="s">
        <v>3</v>
      </c>
      <c r="E2" s="9"/>
      <c r="F2" s="10"/>
      <c r="G2" s="8" t="s">
        <v>4</v>
      </c>
      <c r="H2" s="9"/>
      <c r="I2" s="11"/>
      <c r="J2" s="4"/>
    </row>
    <row r="3">
      <c r="A3" s="12" t="s">
        <v>5</v>
      </c>
      <c r="B3" s="13">
        <v>495.0</v>
      </c>
      <c r="C3" s="14"/>
      <c r="D3" s="15" t="s">
        <v>6</v>
      </c>
      <c r="E3" s="16"/>
      <c r="F3" s="16"/>
      <c r="G3" s="16">
        <v>355.0</v>
      </c>
      <c r="H3" s="16"/>
      <c r="I3" s="17"/>
      <c r="J3" s="4"/>
    </row>
    <row r="4">
      <c r="A4" s="18" t="s">
        <v>7</v>
      </c>
      <c r="B4" s="19">
        <v>6.0</v>
      </c>
      <c r="C4" s="20" t="s">
        <v>8</v>
      </c>
      <c r="D4" s="15" t="s">
        <v>9</v>
      </c>
      <c r="E4" s="16"/>
      <c r="F4" s="16"/>
      <c r="G4" s="16">
        <v>1655.0</v>
      </c>
      <c r="H4" s="16"/>
      <c r="I4" s="17"/>
      <c r="J4" s="4"/>
    </row>
    <row r="5">
      <c r="A5" s="21" t="s">
        <v>10</v>
      </c>
      <c r="B5" s="22"/>
      <c r="C5" s="23"/>
      <c r="D5" s="15" t="s">
        <v>11</v>
      </c>
      <c r="E5" s="16"/>
      <c r="F5" s="16"/>
      <c r="G5" s="16" t="s">
        <v>12</v>
      </c>
      <c r="H5" s="16"/>
      <c r="I5" s="17"/>
      <c r="J5" s="4"/>
    </row>
    <row r="6">
      <c r="A6" s="24" t="s">
        <v>61</v>
      </c>
      <c r="B6" s="2"/>
      <c r="C6" s="2"/>
      <c r="D6" s="2"/>
      <c r="E6" s="2"/>
      <c r="F6" s="2"/>
      <c r="G6" s="2"/>
      <c r="H6" s="2"/>
      <c r="I6" s="3"/>
      <c r="J6" s="4"/>
    </row>
    <row r="7">
      <c r="A7" s="25" t="s">
        <v>14</v>
      </c>
      <c r="B7" s="26" t="s">
        <v>15</v>
      </c>
      <c r="C7" s="26" t="s">
        <v>16</v>
      </c>
      <c r="D7" s="26" t="s">
        <v>17</v>
      </c>
      <c r="E7" s="26" t="s">
        <v>18</v>
      </c>
      <c r="F7" s="27" t="s">
        <v>19</v>
      </c>
      <c r="G7" s="28"/>
      <c r="H7" s="29" t="s">
        <v>14</v>
      </c>
      <c r="I7" s="30"/>
      <c r="J7" s="4"/>
    </row>
    <row r="8">
      <c r="A8" s="31">
        <v>58.35</v>
      </c>
      <c r="B8" s="32">
        <v>1028.0</v>
      </c>
      <c r="C8" s="33">
        <v>1091.0</v>
      </c>
      <c r="D8" s="32">
        <v>1041.0</v>
      </c>
      <c r="E8" s="116">
        <v>20000.0</v>
      </c>
      <c r="F8" s="35">
        <f t="shared" ref="F8:F16" si="1">AVERAGE(B8:E8)</f>
        <v>5790</v>
      </c>
      <c r="G8" s="36"/>
      <c r="H8" s="37" t="s">
        <v>20</v>
      </c>
      <c r="I8" s="38"/>
      <c r="J8" s="4"/>
    </row>
    <row r="9">
      <c r="A9" s="39">
        <v>49.2</v>
      </c>
      <c r="B9" s="40">
        <v>1139.0</v>
      </c>
      <c r="C9" s="41">
        <v>1142.0</v>
      </c>
      <c r="D9" s="42">
        <v>1103.0</v>
      </c>
      <c r="E9" s="40">
        <v>1120.0</v>
      </c>
      <c r="F9" s="43">
        <f t="shared" si="1"/>
        <v>1126</v>
      </c>
      <c r="G9" s="44"/>
      <c r="H9" s="45" t="s">
        <v>21</v>
      </c>
      <c r="I9" s="46"/>
      <c r="J9" s="4"/>
    </row>
    <row r="10">
      <c r="A10" s="39">
        <v>46.2</v>
      </c>
      <c r="B10" s="40">
        <v>1185.0</v>
      </c>
      <c r="C10" s="41">
        <v>1198.0</v>
      </c>
      <c r="D10" s="42">
        <v>1176.0</v>
      </c>
      <c r="E10" s="40">
        <v>1179.0</v>
      </c>
      <c r="F10" s="43">
        <f t="shared" si="1"/>
        <v>1184.5</v>
      </c>
      <c r="G10" s="44"/>
      <c r="H10" s="45" t="s">
        <v>22</v>
      </c>
      <c r="I10" s="46"/>
      <c r="J10" s="4"/>
    </row>
    <row r="11">
      <c r="A11" s="39">
        <v>42.2</v>
      </c>
      <c r="B11" s="41">
        <v>1221.0</v>
      </c>
      <c r="C11" s="47">
        <v>1217.0</v>
      </c>
      <c r="D11" s="42">
        <v>1181.0</v>
      </c>
      <c r="E11" s="40">
        <v>1190.0</v>
      </c>
      <c r="F11" s="43">
        <f t="shared" si="1"/>
        <v>1202.25</v>
      </c>
      <c r="G11" s="44"/>
      <c r="H11" s="45" t="s">
        <v>23</v>
      </c>
      <c r="I11" s="46"/>
      <c r="J11" s="4"/>
    </row>
    <row r="12">
      <c r="A12" s="39">
        <v>38.65</v>
      </c>
      <c r="B12" s="40">
        <v>1172.0</v>
      </c>
      <c r="C12" s="48">
        <v>1193.0</v>
      </c>
      <c r="D12" s="42">
        <v>1156.0</v>
      </c>
      <c r="E12" s="40">
        <v>1166.0</v>
      </c>
      <c r="F12" s="43">
        <f t="shared" si="1"/>
        <v>1171.75</v>
      </c>
      <c r="G12" s="44"/>
      <c r="H12" s="45" t="s">
        <v>24</v>
      </c>
      <c r="I12" s="46"/>
      <c r="J12" s="4"/>
    </row>
    <row r="13">
      <c r="A13" s="49">
        <v>35.0</v>
      </c>
      <c r="B13" s="40">
        <v>1138.0</v>
      </c>
      <c r="C13" s="48">
        <v>1151.0</v>
      </c>
      <c r="D13" s="42">
        <v>1122.0</v>
      </c>
      <c r="E13" s="40">
        <v>1125.0</v>
      </c>
      <c r="F13" s="43">
        <f t="shared" si="1"/>
        <v>1134</v>
      </c>
      <c r="G13" s="44"/>
      <c r="H13" s="45" t="s">
        <v>25</v>
      </c>
      <c r="I13" s="46"/>
      <c r="J13" s="4"/>
    </row>
    <row r="14">
      <c r="A14" s="50">
        <v>31.4</v>
      </c>
      <c r="B14" s="41">
        <v>1072.0</v>
      </c>
      <c r="C14" s="40">
        <v>1060.0</v>
      </c>
      <c r="D14" s="42">
        <v>1041.0</v>
      </c>
      <c r="E14" s="40">
        <v>1062.0</v>
      </c>
      <c r="F14" s="43">
        <f t="shared" si="1"/>
        <v>1058.75</v>
      </c>
      <c r="G14" s="44"/>
      <c r="H14" s="45" t="s">
        <v>26</v>
      </c>
      <c r="I14" s="46"/>
      <c r="J14" s="4"/>
    </row>
    <row r="15">
      <c r="A15" s="50">
        <v>27.8</v>
      </c>
      <c r="B15" s="40">
        <v>1028.0</v>
      </c>
      <c r="C15" s="41">
        <v>1035.0</v>
      </c>
      <c r="D15" s="42">
        <v>1016.0</v>
      </c>
      <c r="E15" s="40">
        <v>1024.0</v>
      </c>
      <c r="F15" s="43">
        <f t="shared" si="1"/>
        <v>1025.75</v>
      </c>
      <c r="G15" s="44"/>
      <c r="H15" s="45" t="s">
        <v>27</v>
      </c>
      <c r="I15" s="46"/>
      <c r="J15" s="4"/>
    </row>
    <row r="16">
      <c r="A16" s="51">
        <v>24.2</v>
      </c>
      <c r="B16" s="52">
        <v>1013.0</v>
      </c>
      <c r="C16" s="53">
        <v>1006.0</v>
      </c>
      <c r="D16" s="54">
        <v>1020.0</v>
      </c>
      <c r="E16" s="52">
        <v>1010.0</v>
      </c>
      <c r="F16" s="55">
        <f t="shared" si="1"/>
        <v>1012.25</v>
      </c>
      <c r="G16" s="56"/>
      <c r="H16" s="57" t="s">
        <v>28</v>
      </c>
      <c r="I16" s="58"/>
      <c r="J16" s="4"/>
    </row>
    <row r="17">
      <c r="A17" s="59" t="s">
        <v>62</v>
      </c>
      <c r="B17" s="2"/>
      <c r="C17" s="2"/>
      <c r="D17" s="2"/>
      <c r="E17" s="2"/>
      <c r="F17" s="2"/>
      <c r="G17" s="2"/>
      <c r="H17" s="2"/>
      <c r="I17" s="3"/>
      <c r="J17" s="4"/>
    </row>
    <row r="18">
      <c r="A18" s="60" t="s">
        <v>30</v>
      </c>
      <c r="B18" s="61"/>
      <c r="C18" s="62" t="s">
        <v>31</v>
      </c>
      <c r="D18" s="63" t="s">
        <v>32</v>
      </c>
      <c r="E18" s="64"/>
      <c r="F18" s="65"/>
      <c r="G18" s="66"/>
      <c r="H18" s="67" t="s">
        <v>31</v>
      </c>
      <c r="I18" s="68" t="s">
        <v>32</v>
      </c>
      <c r="J18" s="4"/>
    </row>
    <row r="19">
      <c r="A19" s="69" t="s">
        <v>63</v>
      </c>
      <c r="B19" s="70"/>
      <c r="C19" s="71">
        <v>164.0</v>
      </c>
      <c r="D19" s="72"/>
      <c r="E19" s="73" t="s">
        <v>34</v>
      </c>
      <c r="F19" s="74"/>
      <c r="G19" s="75"/>
      <c r="H19" s="76">
        <v>853.0</v>
      </c>
      <c r="I19" s="77">
        <v>817.0</v>
      </c>
      <c r="J19" s="4"/>
    </row>
    <row r="20">
      <c r="A20" s="78" t="s">
        <v>35</v>
      </c>
      <c r="B20" s="79"/>
      <c r="C20" s="80">
        <v>1518.0</v>
      </c>
      <c r="D20" s="81"/>
      <c r="E20" s="79" t="s">
        <v>64</v>
      </c>
      <c r="F20" s="79"/>
      <c r="G20" s="80"/>
      <c r="H20" s="82">
        <v>815.0</v>
      </c>
      <c r="I20" s="83">
        <v>712.0</v>
      </c>
      <c r="J20" s="4"/>
    </row>
    <row r="21">
      <c r="A21" s="84" t="s">
        <v>37</v>
      </c>
      <c r="B21" s="85"/>
      <c r="C21" s="86">
        <v>35.0</v>
      </c>
      <c r="D21" s="86">
        <v>17.0</v>
      </c>
      <c r="E21" s="79" t="s">
        <v>65</v>
      </c>
      <c r="F21" s="79"/>
      <c r="G21" s="80"/>
      <c r="H21" s="82">
        <v>675.0</v>
      </c>
      <c r="I21" s="83">
        <v>607.0</v>
      </c>
      <c r="J21" s="4"/>
    </row>
    <row r="22">
      <c r="A22" s="84" t="s">
        <v>39</v>
      </c>
      <c r="B22" s="85"/>
      <c r="C22" s="87">
        <v>4.0</v>
      </c>
      <c r="D22" s="86">
        <v>5.0</v>
      </c>
      <c r="E22" s="79" t="s">
        <v>66</v>
      </c>
      <c r="F22" s="79"/>
      <c r="G22" s="80"/>
      <c r="H22" s="82">
        <v>487.0</v>
      </c>
      <c r="I22" s="83">
        <v>472.0</v>
      </c>
      <c r="J22" s="4">
        <v>340.0</v>
      </c>
    </row>
    <row r="23">
      <c r="A23" s="84" t="s">
        <v>67</v>
      </c>
      <c r="B23" s="85"/>
      <c r="C23" s="86">
        <v>3.6</v>
      </c>
      <c r="D23" s="86">
        <v>2.2</v>
      </c>
      <c r="E23" s="79" t="s">
        <v>68</v>
      </c>
      <c r="F23" s="79"/>
      <c r="G23" s="80"/>
      <c r="H23" s="82">
        <v>350.0</v>
      </c>
      <c r="I23" s="83">
        <v>358.0</v>
      </c>
      <c r="J23" s="4"/>
    </row>
    <row r="24">
      <c r="A24" s="84" t="s">
        <v>43</v>
      </c>
      <c r="B24" s="85"/>
      <c r="C24" s="86">
        <v>84.0</v>
      </c>
      <c r="D24" s="86">
        <v>92.0</v>
      </c>
      <c r="E24" s="88" t="s">
        <v>69</v>
      </c>
      <c r="F24" s="89"/>
      <c r="G24" s="90"/>
      <c r="H24" s="91">
        <v>137.0</v>
      </c>
      <c r="I24" s="92">
        <v>140.0</v>
      </c>
      <c r="J24" s="4"/>
    </row>
    <row r="25">
      <c r="A25" s="93" t="s">
        <v>45</v>
      </c>
      <c r="B25" s="94"/>
      <c r="C25" s="95">
        <v>768.0</v>
      </c>
      <c r="D25" s="96"/>
      <c r="E25" s="97"/>
      <c r="F25" s="98"/>
      <c r="G25" s="58"/>
      <c r="H25" s="99"/>
      <c r="I25" s="100"/>
      <c r="J25" s="4"/>
    </row>
    <row r="26">
      <c r="A26" s="101" t="s">
        <v>46</v>
      </c>
      <c r="B26" s="102"/>
      <c r="C26" s="102"/>
      <c r="D26" s="102"/>
      <c r="E26" s="102"/>
      <c r="F26" s="102"/>
      <c r="G26" s="102"/>
      <c r="H26" s="102"/>
      <c r="I26" s="103"/>
      <c r="J26" s="4"/>
    </row>
    <row r="27">
      <c r="A27" s="104" t="s">
        <v>47</v>
      </c>
      <c r="B27" s="105" t="s">
        <v>48</v>
      </c>
      <c r="C27" s="105" t="s">
        <v>49</v>
      </c>
      <c r="D27" s="105" t="s">
        <v>50</v>
      </c>
      <c r="E27" s="105" t="s">
        <v>51</v>
      </c>
      <c r="F27" s="105" t="s">
        <v>52</v>
      </c>
      <c r="G27" s="105" t="s">
        <v>53</v>
      </c>
      <c r="H27" s="105" t="s">
        <v>54</v>
      </c>
      <c r="I27" s="77" t="s">
        <v>55</v>
      </c>
      <c r="J27" s="4"/>
    </row>
    <row r="28">
      <c r="A28" s="106" t="s">
        <v>56</v>
      </c>
      <c r="B28" s="107">
        <v>61.0</v>
      </c>
      <c r="C28" s="86">
        <v>59.0</v>
      </c>
      <c r="D28" s="86"/>
      <c r="E28" s="86">
        <v>60.0</v>
      </c>
      <c r="F28" s="86">
        <v>60.0</v>
      </c>
      <c r="G28" s="86">
        <v>57.0</v>
      </c>
      <c r="H28" s="86">
        <v>58.0</v>
      </c>
      <c r="I28" s="83"/>
      <c r="J28" s="4"/>
    </row>
    <row r="29">
      <c r="A29" s="78" t="s">
        <v>57</v>
      </c>
      <c r="B29" s="86">
        <v>115.0</v>
      </c>
      <c r="C29" s="86">
        <v>115.0</v>
      </c>
      <c r="D29" s="86"/>
      <c r="E29" s="86">
        <v>110.0</v>
      </c>
      <c r="F29" s="86">
        <v>114.0</v>
      </c>
      <c r="G29" s="86">
        <v>114.0</v>
      </c>
      <c r="H29" s="86">
        <v>114.0</v>
      </c>
      <c r="I29" s="83"/>
      <c r="J29" s="4"/>
    </row>
    <row r="30">
      <c r="A30" s="78" t="s">
        <v>58</v>
      </c>
      <c r="B30" s="86">
        <v>13.0</v>
      </c>
      <c r="C30" s="86">
        <v>-2.0</v>
      </c>
      <c r="D30" s="86"/>
      <c r="E30" s="86">
        <v>363.0</v>
      </c>
      <c r="F30" s="86">
        <v>0.0</v>
      </c>
      <c r="G30" s="86">
        <v>142.0</v>
      </c>
      <c r="H30" s="86">
        <v>13.0</v>
      </c>
      <c r="I30" s="83"/>
      <c r="J30" s="4"/>
    </row>
    <row r="31">
      <c r="A31" s="78" t="s">
        <v>70</v>
      </c>
      <c r="B31" s="86">
        <v>65.0</v>
      </c>
      <c r="C31" s="86">
        <v>71.0</v>
      </c>
      <c r="D31" s="86"/>
      <c r="E31" s="86">
        <v>79.0</v>
      </c>
      <c r="F31" s="86">
        <v>70.0</v>
      </c>
      <c r="G31" s="86">
        <v>67.0</v>
      </c>
      <c r="H31" s="86">
        <v>69.0</v>
      </c>
      <c r="I31" s="83"/>
      <c r="J31" s="4"/>
    </row>
    <row r="32">
      <c r="A32" s="93" t="s">
        <v>60</v>
      </c>
      <c r="B32" s="108">
        <v>62.0</v>
      </c>
      <c r="C32" s="108">
        <v>54.0</v>
      </c>
      <c r="D32" s="108"/>
      <c r="E32" s="108">
        <v>58.0</v>
      </c>
      <c r="F32" s="108">
        <v>59.0</v>
      </c>
      <c r="G32" s="108">
        <v>54.0</v>
      </c>
      <c r="H32" s="108">
        <v>56.0</v>
      </c>
      <c r="I32" s="109"/>
      <c r="J32" s="110" t="s">
        <v>1</v>
      </c>
    </row>
  </sheetData>
  <mergeCells count="27">
    <mergeCell ref="A1:I1"/>
    <mergeCell ref="A6:I6"/>
    <mergeCell ref="F8:G8"/>
    <mergeCell ref="H8:I8"/>
    <mergeCell ref="F9:G9"/>
    <mergeCell ref="H9:I9"/>
    <mergeCell ref="H10:I10"/>
    <mergeCell ref="C19:D19"/>
    <mergeCell ref="C20:D20"/>
    <mergeCell ref="E24:G25"/>
    <mergeCell ref="H24:H25"/>
    <mergeCell ref="I24:I25"/>
    <mergeCell ref="C25:D25"/>
    <mergeCell ref="F14:G14"/>
    <mergeCell ref="H14:I14"/>
    <mergeCell ref="F15:G15"/>
    <mergeCell ref="H15:I15"/>
    <mergeCell ref="F16:G16"/>
    <mergeCell ref="H16:I16"/>
    <mergeCell ref="A17:I17"/>
    <mergeCell ref="F10:G10"/>
    <mergeCell ref="F11:G11"/>
    <mergeCell ref="H11:I11"/>
    <mergeCell ref="F12:G12"/>
    <mergeCell ref="H12:I12"/>
    <mergeCell ref="F13:G13"/>
    <mergeCell ref="H13:I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vishal yeul</dc:creator>
</cp:coreProperties>
</file>